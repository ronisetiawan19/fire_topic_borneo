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f1f3a923098439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Non-Open Ranking" sheetId="1" r:id="R19da946abad64ab0"/>
    <x:sheet xmlns:r="http://schemas.openxmlformats.org/officeDocument/2006/relationships" name="Priority Exclusions" sheetId="2" r:id="Rb8a43c6645e14448"/>
    <x:sheet xmlns:r="http://schemas.openxmlformats.org/officeDocument/2006/relationships" name="Methodology" sheetId="3" r:id="Rb3f19a1b74834e47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name val="Carlito"/>
    </x:font>
    <x:font>
      <x:b/>
      <x:sz val="11"/>
      <x:color rgb="FFFFFFFF"/>
      <x:name val="Carlito"/>
    </x:font>
    <x:font>
      <x:b/>
      <x:sz val="15"/>
      <x:color rgb="FFFFFFFF"/>
      <x:name val="Carlito"/>
    </x:font>
  </x:fonts>
  <x:fills count="9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  <x:fill>
      <x:patternFill patternType="solid">
        <x:fgColor rgb="FFEAF2F8"/>
      </x:patternFill>
    </x:fill>
    <x:fill>
      <x:patternFill patternType="solid">
        <x:fgColor rgb="FF4472C4"/>
      </x:patternFill>
    </x:fill>
    <x:fill>
      <x:patternFill patternType="solid">
        <x:fgColor rgb="FF7F1D1D"/>
      </x:patternFill>
    </x:fill>
    <x:fill>
      <x:patternFill patternType="solid">
        <x:fgColor rgb="FFFCE4D6"/>
      </x:patternFill>
    </x:fill>
    <x:fill>
      <x:patternFill patternType="solid">
        <x:fgColor rgb="FFC00000"/>
      </x:patternFill>
    </x:fill>
  </x:fills>
  <x:borders count="2">
    <x:border/>
    <x:border/>
  </x:borders>
  <x:cellStyleXfs count="1">
    <x:xf numFmtId="0" fontId="0" fillId="0" borderId="0"/>
  </x:cellStyleXfs>
  <x:cellXfs count="59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0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0" fillId="3" borderId="1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2" fillId="4" borderId="0" xfId="0" applyNumberFormat="1" applyFont="1" applyFill="1" applyBorder="1"/>
    <x:xf numFmtId="0" fontId="0" fillId="4" borderId="1" xfId="0" applyNumberFormat="1" applyFont="1" applyFill="1" applyBorder="1"/>
    <x:xf numFmtId="0" fontId="2" fillId="4" borderId="1" xfId="0" applyNumberFormat="1" applyFont="1" applyFill="1" applyBorder="1"/>
    <x:xf numFmtId="0" fontId="2" fillId="0" borderId="0" xfId="0" applyNumberFormat="1" applyFont="1" applyFill="1" applyBorder="1"/>
    <x:xf numFmtId="0" fontId="2" fillId="0" borderId="0" xfId="0" applyNumberFormat="1" applyFont="1" applyFill="1" applyBorder="1" applyAlignment="1">
      <x:alignment horizontal="center"/>
    </x:xf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horizontal="center"/>
    </x:xf>
    <x:xf numFmtId="0" fontId="0" fillId="5" borderId="0" xfId="0" applyNumberFormat="1" applyFont="1" applyFill="1" applyBorder="1"/>
    <x:xf numFmtId="0" fontId="3" fillId="5" borderId="0" xfId="0" applyNumberFormat="1" applyFont="1" applyFill="1" applyBorder="1"/>
    <x:xf numFmtId="0" fontId="3" fillId="5" borderId="0" xfId="0" applyNumberFormat="1" applyFont="1" applyFill="1" applyBorder="1" applyAlignment="1">
      <x:alignment wrapText="1"/>
    </x:xf>
    <x:xf numFmtId="0" fontId="3" fillId="5" borderId="0" xfId="0" applyNumberFormat="1" applyFont="1" applyFill="1" applyBorder="1" applyAlignment="1">
      <x:alignment horizontal="center" wrapText="1"/>
    </x:xf>
    <x:xf numFmtId="0" fontId="3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3" fillId="5" borderId="1" xfId="0" applyNumberFormat="1" applyFont="1" applyFill="1" applyBorder="1"/>
    <x:xf numFmtId="0" fontId="3" fillId="5" borderId="1" xfId="0" applyNumberFormat="1" applyFont="1" applyFill="1" applyBorder="1" applyAlignment="1">
      <x:alignment wrapText="1"/>
    </x:xf>
    <x:xf numFmtId="0" fontId="3" fillId="5" borderId="1" xfId="0" applyNumberFormat="1" applyFont="1" applyFill="1" applyBorder="1" applyAlignment="1">
      <x:alignment horizontal="center" wrapText="1"/>
    </x:xf>
    <x:xf numFmtId="0" fontId="3" fillId="5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horizontal="center" wrapText="1"/>
    </x:xf>
    <x:xf numFmtId="0" fontId="0" fillId="0" borderId="1" xfId="0" applyNumberFormat="1" applyFont="1" applyFill="1" applyBorder="1" applyAlignment="1">
      <x:alignment horizontal="center" wrapText="1"/>
    </x:xf>
    <x:xf numFmtId="0" fontId="0" fillId="6" borderId="0" xfId="0" applyNumberFormat="1" applyFont="1" applyFill="1" applyBorder="1"/>
    <x:xf numFmtId="0" fontId="4" fillId="6" borderId="0" xfId="0" applyNumberFormat="1" applyFont="1" applyFill="1" applyBorder="1"/>
    <x:xf numFmtId="0" fontId="4" fillId="6" borderId="0" xfId="0" applyNumberFormat="1" applyFont="1" applyFill="1" applyBorder="1" applyAlignment="1">
      <x:alignment horizontal="center"/>
    </x:xf>
    <x:xf numFmtId="0" fontId="0" fillId="6" borderId="1" xfId="0" applyNumberFormat="1" applyFont="1" applyFill="1" applyBorder="1"/>
    <x:xf numFmtId="0" fontId="4" fillId="6" borderId="1" xfId="0" applyNumberFormat="1" applyFont="1" applyFill="1" applyBorder="1"/>
    <x:xf numFmtId="0" fontId="4" fillId="6" borderId="1" xfId="0" applyNumberFormat="1" applyFont="1" applyFill="1" applyBorder="1" applyAlignment="1">
      <x:alignment horizontal="center"/>
    </x:xf>
    <x:xf numFmtId="0" fontId="0" fillId="7" borderId="0" xfId="0" applyNumberFormat="1" applyFont="1" applyFill="1" applyBorder="1"/>
    <x:xf numFmtId="0" fontId="0" fillId="7" borderId="0" xfId="0" applyNumberFormat="1" applyFont="1" applyFill="1" applyBorder="1" applyAlignment="1">
      <x:alignment wrapText="1"/>
    </x:xf>
    <x:xf numFmtId="0" fontId="0" fillId="7" borderId="1" xfId="0" applyNumberFormat="1" applyFont="1" applyFill="1" applyBorder="1"/>
    <x:xf numFmtId="0" fontId="0" fillId="7" borderId="1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0" xfId="0" applyNumberFormat="1" applyFont="1" applyFill="1" applyBorder="1" applyAlignment="1">
      <x:alignment wrapText="1"/>
    </x:xf>
    <x:xf numFmtId="0" fontId="3" fillId="8" borderId="0" xfId="0" applyNumberFormat="1" applyFont="1" applyFill="1" applyBorder="1" applyAlignment="1">
      <x:alignment horizontal="center" wrapText="1"/>
    </x:xf>
    <x:xf numFmtId="0" fontId="0" fillId="8" borderId="1" xfId="0" applyNumberFormat="1" applyFont="1" applyFill="1" applyBorder="1"/>
    <x:xf numFmtId="0" fontId="3" fillId="8" borderId="1" xfId="0" applyNumberFormat="1" applyFont="1" applyFill="1" applyBorder="1"/>
    <x:xf numFmtId="0" fontId="3" fillId="8" borderId="1" xfId="0" applyNumberFormat="1" applyFont="1" applyFill="1" applyBorder="1" applyAlignment="1">
      <x:alignment wrapText="1"/>
    </x:xf>
    <x:xf numFmtId="0" fontId="3" fillId="8" borderId="1" xfId="0" applyNumberFormat="1" applyFont="1" applyFill="1" applyBorder="1" applyAlignment="1">
      <x:alignment horizontal="center" wrapText="1"/>
    </x:xf>
    <x:xf numFmtId="0" fontId="4" fillId="2" borderId="0" xfId="0" applyNumberFormat="1" applyFont="1" applyFill="1" applyBorder="1"/>
    <x:xf numFmtId="0" fontId="4" fillId="2" borderId="0" xfId="0" applyNumberFormat="1" applyFont="1" applyFill="1" applyBorder="1" applyAlignment="1">
      <x:alignment horizontal="center"/>
    </x:xf>
    <x:xf numFmtId="0" fontId="4" fillId="2" borderId="1" xfId="0" applyNumberFormat="1" applyFont="1" applyFill="1" applyBorder="1"/>
    <x:xf numFmtId="0" fontId="4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/>
  </x:cellXfs>
  <x:cellStyles count="1">
    <x:cellStyle name="Normal" xfId="0"/>
  </x:cellStyles>
  <x:dxfs count="4"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b/>
        <x:color rgb="FFC65911"/>
      </x:font>
      <x:fill>
        <x:patternFill patternType="solid">
          <x:bgColor rgb="FFFCE4D6"/>
        </x:patternFill>
      </x:fill>
    </x:dxf>
    <x:dxf>
      <x:font>
        <x:b/>
        <x:color rgb="FF7F6000"/>
      </x:font>
      <x:fill>
        <x:patternFill patternType="solid">
          <x:bgColor rgb="FFFFF2CC"/>
        </x:patternFill>
      </x:fill>
    </x:dxf>
    <x:dxf>
      <x:font>
        <x:b/>
        <x:color rgb="FF274E13"/>
      </x:font>
      <x:fill>
        <x:patternFill patternType="solid">
          <x:bgColor rgb="FFD9EAD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fee57c73de944e7" /><Relationship Type="http://schemas.openxmlformats.org/officeDocument/2006/relationships/theme" Target="/xl/theme/theme1.xml" Id="Reea07452007549ad" /><Relationship Type="http://schemas.openxmlformats.org/officeDocument/2006/relationships/sharedStrings" Target="/xl/sharedStrings.xml" Id="R4af9d3db397446c7" /><Relationship Type="http://schemas.openxmlformats.org/officeDocument/2006/relationships/worksheet" Target="/xl/worksheets/sheet1.xml" Id="R19da946abad64ab0" /><Relationship Type="http://schemas.openxmlformats.org/officeDocument/2006/relationships/worksheet" Target="/xl/worksheets/sheet2.xml" Id="Rb8a43c6645e14448" /><Relationship Type="http://schemas.openxmlformats.org/officeDocument/2006/relationships/worksheet" Target="/xl/worksheets/sheet3.xml" Id="Rb3f19a1b74834e47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11da78ca6aa49f1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Non-Open Score – Top 10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Non-Open Score</c:v>
          </c:tx>
          <c:cat>
            <c:strRef>
              <c:f>'Non-Open Ranking'!$P$26:$P$35</c:f>
              <c:strCache>
                <c:ptCount val="0"/>
              </c:strCache>
            </c:strRef>
          </c:cat>
          <c:val>
            <c:numRef>
              <c:f>'Non-Open Ranking'!$Q$26:$Q$35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15</xdr:col>
      <xdr:colOff>0</xdr:colOff>
      <xdr:row>3</xdr:row>
      <xdr:rowOff>0</xdr:rowOff>
    </xdr:from>
    <xdr:to>
      <xdr:col>26</xdr:col>
      <xdr:colOff>0</xdr:colOff>
      <xdr:row>23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11da78ca6aa49f1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NonOpenMarketAssessment" displayName="NonOpenMarketAssessment" ref="A12:N30" headerRowCount="1" totalsRowCount="0" totalsRowShown="0">
  <x:tableColumns count="14">
    <x:tableColumn id="1" name="Rank"/>
    <x:tableColumn id="2" name="Location"/>
    <x:tableColumn id="3" name="City / Region"/>
    <x:tableColumn id="4" name="F&amp;B in 5 km"/>
    <x:tableColumn id="5" name="Direct Pasta/Italian Pressure (0–5)"/>
    <x:tableColumn id="6" name="Non-Open Score"/>
    <x:tableColumn id="7" name="Final Site Score"/>
    <x:tableColumn id="8" name="Status"/>
    <x:tableColumn id="9" name="Signal"/>
    <x:tableColumn id="10" name="Why this matters"/>
    <x:tableColumn id="11" name="Web Spot-Check / Evidence"/>
    <x:tableColumn id="12" name="Confidence"/>
    <x:tableColumn id="13" name="Source URL"/>
    <x:tableColumn id="14" name="Data Quality Note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PriorityExclusions" displayName="PriorityExclusions" ref="A4:H14" headerRowCount="1" totalsRowCount="0" totalsRowShown="0">
  <x:tableColumns count="8">
    <x:tableColumn id="1" name="Priority"/>
    <x:tableColumn id="2" name="Location"/>
    <x:tableColumn id="3" name="Non-Open Score"/>
    <x:tableColumn id="4" name="Status"/>
    <x:tableColumn id="5" name="F&amp;B in 5 km"/>
    <x:tableColumn id="6" name="Direct Pressure"/>
    <x:tableColumn id="7" name="Confidence"/>
    <x:tableColumn id="8" name="Key Reas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906decaf8d74405f" /><Relationship Type="http://schemas.openxmlformats.org/officeDocument/2006/relationships/table" Target="/xl/tables/table1.xml" Id="Rfbaaaec8cc1b432f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5fc2e53c19b24f0c" /></Relationships>
</file>

<file path=xl/worksheets/sheet1.xml><?xml version="1.0" encoding="utf-8"?>
<x:worksheet xmlns:x="http://schemas.openxmlformats.org/spreadsheetml/2006/main">
  <x:sheetFormatPr defaultRowHeight="15"/>
  <x:cols>
    <x:col min="1" max="1" width="8" hidden="0" customWidth="1"/>
    <x:col min="2" max="2" width="28" hidden="0" customWidth="1"/>
    <x:col min="3" max="3" width="29" hidden="0" customWidth="1"/>
    <x:col min="4" max="4" width="13" hidden="0" customWidth="1"/>
    <x:col min="5" max="5" width="19" hidden="0" customWidth="1"/>
    <x:col min="6" max="6" width="15" hidden="0" customWidth="1"/>
    <x:col min="7" max="7" width="14" hidden="0" customWidth="1"/>
    <x:col min="8" max="8" width="18" hidden="0" customWidth="1"/>
    <x:col min="9" max="9" width="28" hidden="0" customWidth="1"/>
    <x:col min="10" max="10" width="48" hidden="0" customWidth="1"/>
    <x:col min="11" max="11" width="58" hidden="0" customWidth="1"/>
    <x:col min="12" max="12" width="12" hidden="0" customWidth="1"/>
    <x:col min="13" max="13" width="48" hidden="0" customWidth="1"/>
    <x:col min="14" max="14" width="30" hidden="0" customWidth="1"/>
    <x:col min="16" max="16" width="28" hidden="0" customWidth="1"/>
    <x:col min="17" max="17" width="15" hidden="0" customWidth="1"/>
  </x:cols>
  <x:sheetData>
    <x:row r="1" ht="28" customHeight="1">
      <x:c r="A1" s="5" t="str">
        <x:v>Sky Pasta – 18 Proposed Locations | Non-Open Market Assessment</x:v>
      </x:c>
      <x:c r="B1" s="5"/>
      <x:c r="C1" s="5"/>
      <x:c r="D1" s="5"/>
      <x:c r="E1" s="5"/>
      <x:c r="F1" s="5"/>
      <x:c r="G1" s="5"/>
      <x:c r="H1" s="5"/>
      <x:c r="I1" s="5"/>
      <x:c r="J1" s="5"/>
      <x:c r="K1" s="5"/>
      <x:c r="L1" s="5"/>
      <x:c r="M1" s="5"/>
      <x:c r="N1" s="5"/>
    </x:row>
    <x:row r="2" ht="28" customHeight="1">
      <x:c r="A2" s="11" t="str">
        <x:v>Purpose: find the locations that are least open for a pasta-led concept. Score combines broad F&amp;B crowding (60%) + analyst-assessed direct pasta/Italian pressure (40%).</x:v>
      </x:c>
      <x:c r="B2" s="11"/>
      <x:c r="C2" s="11"/>
      <x:c r="D2" s="11"/>
      <x:c r="E2" s="11"/>
      <x:c r="F2" s="11"/>
      <x:c r="G2" s="11"/>
      <x:c r="H2" s="11"/>
      <x:c r="I2" s="11"/>
      <x:c r="J2" s="11"/>
      <x:c r="K2" s="11"/>
      <x:c r="L2" s="11"/>
      <x:c r="M2" s="11"/>
      <x:c r="N2" s="11"/>
    </x:row>
    <x:row r="4">
      <x:c r="A4" s="15" t="str">
        <x:v>Candidates</x:v>
      </x:c>
      <x:c r="B4" s="19" t="n">
        <x:v>18</x:v>
      </x:c>
    </x:row>
    <x:row r="5">
      <x:c r="A5" s="15" t="str">
        <x:v>NOT OPEN</x:v>
      </x:c>
      <x:c r="B5" s="19" t="n">
        <x:v>6</x:v>
      </x:c>
    </x:row>
    <x:row r="6">
      <x:c r="A6" s="15" t="str">
        <x:v>HIGH COMPETITION</x:v>
      </x:c>
      <x:c r="B6" s="19" t="n">
        <x:v>4</x:v>
      </x:c>
    </x:row>
    <x:row r="7">
      <x:c r="A7" s="15" t="str">
        <x:v>BORDERLINE</x:v>
      </x:c>
      <x:c r="B7" s="19" t="n">
        <x:v>4</x:v>
      </x:c>
    </x:row>
    <x:row r="8">
      <x:c r="A8" s="15" t="str">
        <x:v>RELATIVELY OPEN</x:v>
      </x:c>
      <x:c r="B8" s="19" t="n">
        <x:v>4</x:v>
      </x:c>
    </x:row>
    <x:row r="9">
      <x:c r="A9" s="15" t="str">
        <x:v>Highest non-open score</x:v>
      </x:c>
      <x:c r="B9" s="19" t="n">
        <x:v>92</x:v>
      </x:c>
    </x:row>
    <x:row r="10">
      <x:c r="A10" s="15" t="str">
        <x:v>Max F&amp;B density (5 km)</x:v>
      </x:c>
      <x:c r="B10" s="19" t="n">
        <x:v>1191</x:v>
      </x:c>
    </x:row>
    <x:row r="12" ht="36" customHeight="1">
      <x:c r="A12" s="26" t="str">
        <x:v>Rank</x:v>
      </x:c>
      <x:c r="B12" s="26" t="str">
        <x:v>Location</x:v>
      </x:c>
      <x:c r="C12" s="26" t="str">
        <x:v>City / Region</x:v>
      </x:c>
      <x:c r="D12" s="26" t="str">
        <x:v>F&amp;B in 5 km</x:v>
      </x:c>
      <x:c r="E12" s="26" t="str">
        <x:v>Direct Pasta/Italian Pressure (0–5)</x:v>
      </x:c>
      <x:c r="F12" s="26" t="str">
        <x:v>Non-Open Score</x:v>
      </x:c>
      <x:c r="G12" s="26" t="str">
        <x:v>Final Site Score</x:v>
      </x:c>
      <x:c r="H12" s="26" t="str">
        <x:v>Status</x:v>
      </x:c>
      <x:c r="I12" s="26" t="str">
        <x:v>Signal</x:v>
      </x:c>
      <x:c r="J12" s="26" t="str">
        <x:v>Why this matters</x:v>
      </x:c>
      <x:c r="K12" s="26" t="str">
        <x:v>Web Spot-Check / Evidence</x:v>
      </x:c>
      <x:c r="L12" s="26" t="str">
        <x:v>Confidence</x:v>
      </x:c>
      <x:c r="M12" s="26" t="str">
        <x:v>Source URL</x:v>
      </x:c>
      <x:c r="N12" s="26" t="str">
        <x:v>Data Quality Note</x:v>
      </x:c>
    </x:row>
    <x:row r="13" ht="62" customHeight="1">
      <x:c r="A13" s="32" t="n">
        <x:v>1</x:v>
      </x:c>
      <x:c r="B13" s="32" t="str">
        <x:v>Dago - Ciumbuleuit</x:v>
      </x:c>
      <x:c r="C13" s="32" t="str">
        <x:v>Kota Bandung | Bandung</x:v>
      </x:c>
      <x:c r="D13" s="34" t="n">
        <x:v>1191</x:v>
      </x:c>
      <x:c r="E13" s="34" t="n">
        <x:v>4</x:v>
      </x:c>
      <x:c r="F13" s="34" t="n">
        <x:v>92</x:v>
      </x:c>
      <x:c r="G13" s="34" t="n">
        <x:v>60.5</x:v>
      </x:c>
      <x:c r="H13" s="34" t="str">
        <x:v>NOT OPEN</x:v>
      </x:c>
      <x:c r="I13" s="34" t="str">
        <x:v>Exclude from open-market shortlist</x:v>
      </x:c>
      <x:c r="J13" s="32" t="str">
        <x:v>Very dense F&amp;B ecosystem; concept-level Italian/pasta competition likely high.</x:v>
      </x:c>
      <x:c r="K13" s="32" t="str">
        <x:v>Validation entry point; classification is driven mainly by internal F&amp;B-density data.</x:v>
      </x:c>
      <x:c r="L13" s="34" t="str">
        <x:v>MEDIUM</x:v>
      </x:c>
      <x:c r="M13" s="32" t="str">
        <x:v>https://www.google.com/search?q=%22Dago%22+%22Ciumbuleuit%22+pasta+Italian+restaurant</x:v>
      </x:c>
      <x:c r="N13" s="32" t="str"/>
    </x:row>
    <x:row r="14" ht="62" customHeight="1">
      <x:c r="A14" s="32" t="n">
        <x:v>2</x:v>
      </x:c>
      <x:c r="B14" s="32" t="str">
        <x:v>Gejayan - Kaliurang</x:v>
      </x:c>
      <x:c r="C14" s="32" t="str">
        <x:v>Kab. Sleman | Jogja</x:v>
      </x:c>
      <x:c r="D14" s="34" t="n">
        <x:v>1113</x:v>
      </x:c>
      <x:c r="E14" s="34" t="n">
        <x:v>4</x:v>
      </x:c>
      <x:c r="F14" s="34" t="n">
        <x:v>88.1</x:v>
      </x:c>
      <x:c r="G14" s="34" t="n">
        <x:v>47.3</x:v>
      </x:c>
      <x:c r="H14" s="34" t="str">
        <x:v>NOT OPEN</x:v>
      </x:c>
      <x:c r="I14" s="34" t="str">
        <x:v>Exclude from open-market shortlist</x:v>
      </x:c>
      <x:c r="J14" s="32" t="str">
        <x:v>Very dense F&amp;B ecosystem; student/commercial corridor makes direct substitution risk high.</x:v>
      </x:c>
      <x:c r="K14" s="32" t="str">
        <x:v>Validation entry point; classification is driven mainly by internal F&amp;B-density data.</x:v>
      </x:c>
      <x:c r="L14" s="34" t="str">
        <x:v>MEDIUM</x:v>
      </x:c>
      <x:c r="M14" s="32" t="str">
        <x:v>https://www.google.com/search?q=%22Gejayan%22+%22Kaliurang%22+pasta+Italian+restaurant</x:v>
      </x:c>
      <x:c r="N14" s="32" t="str"/>
    </x:row>
    <x:row r="15" ht="62" customHeight="1">
      <x:c r="A15" s="32" t="n">
        <x:v>3</x:v>
      </x:c>
      <x:c r="B15" s="32" t="str">
        <x:v>Setiabudi - UNPAD</x:v>
      </x:c>
      <x:c r="C15" s="32" t="str">
        <x:v>Kota Bandung | Bandung</x:v>
      </x:c>
      <x:c r="D15" s="34" t="n">
        <x:v>943</x:v>
      </x:c>
      <x:c r="E15" s="34" t="n">
        <x:v>4</x:v>
      </x:c>
      <x:c r="F15" s="34" t="n">
        <x:v>79.5</x:v>
      </x:c>
      <x:c r="G15" s="34" t="n">
        <x:v>62.3</x:v>
      </x:c>
      <x:c r="H15" s="34" t="str">
        <x:v>NOT OPEN</x:v>
      </x:c>
      <x:c r="I15" s="34" t="str">
        <x:v>Exclude from open-market shortlist</x:v>
      </x:c>
      <x:c r="J15" s="32" t="str">
        <x:v>Very dense F&amp;B ecosystem around a major student corridor; Western/Italian competition is relevant.</x:v>
      </x:c>
      <x:c r="K15" s="32" t="str">
        <x:v>Validation entry point; classification is driven mainly by internal F&amp;B-density data.</x:v>
      </x:c>
      <x:c r="L15" s="34" t="str">
        <x:v>MEDIUM</x:v>
      </x:c>
      <x:c r="M15" s="32" t="str">
        <x:v>https://www.google.com/search?q=%22Setiabudi%22+Bandung+pasta+Italian+restaurant</x:v>
      </x:c>
      <x:c r="N15" s="32" t="str"/>
    </x:row>
    <x:row r="16" ht="62" customHeight="1">
      <x:c r="A16" s="32" t="n">
        <x:v>4</x:v>
      </x:c>
      <x:c r="B16" s="32" t="str">
        <x:v>Seturan - Sleman</x:v>
      </x:c>
      <x:c r="C16" s="32" t="str">
        <x:v>Kab. Sleman | Jogja</x:v>
      </x:c>
      <x:c r="D16" s="34" t="n">
        <x:v>941</x:v>
      </x:c>
      <x:c r="E16" s="34" t="n">
        <x:v>4</x:v>
      </x:c>
      <x:c r="F16" s="34" t="n">
        <x:v>79.4</x:v>
      </x:c>
      <x:c r="G16" s="34" t="n">
        <x:v>47.3</x:v>
      </x:c>
      <x:c r="H16" s="34" t="str">
        <x:v>NOT OPEN</x:v>
      </x:c>
      <x:c r="I16" s="34" t="str">
        <x:v>Exclude from open-market shortlist</x:v>
      </x:c>
      <x:c r="J16" s="32" t="str">
        <x:v>Very dense F&amp;B ecosystem in a mature student/commercial zone; direct substitution risk is meaningful.</x:v>
      </x:c>
      <x:c r="K16" s="32" t="str">
        <x:v>Validation entry point; classification is driven mainly by internal F&amp;B-density data.</x:v>
      </x:c>
      <x:c r="L16" s="34" t="str">
        <x:v>MEDIUM</x:v>
      </x:c>
      <x:c r="M16" s="32" t="str">
        <x:v>https://www.google.com/search?q=%22Seturan%22+Sleman+pasta+Italian+restaurant</x:v>
      </x:c>
      <x:c r="N16" s="32" t="str"/>
    </x:row>
    <x:row r="17" ht="62" customHeight="1">
      <x:c r="A17" s="32" t="n">
        <x:v>5</x:v>
      </x:c>
      <x:c r="B17" s="32" t="str">
        <x:v>Babarsari</x:v>
      </x:c>
      <x:c r="C17" s="32" t="str">
        <x:v>Kota Jogja | Jogja</x:v>
      </x:c>
      <x:c r="D17" s="34" t="n">
        <x:v>905</x:v>
      </x:c>
      <x:c r="E17" s="34" t="n">
        <x:v>4</x:v>
      </x:c>
      <x:c r="F17" s="34" t="n">
        <x:v>77.6</x:v>
      </x:c>
      <x:c r="G17" s="34" t="n">
        <x:v>46.7</x:v>
      </x:c>
      <x:c r="H17" s="34" t="str">
        <x:v>NOT OPEN</x:v>
      </x:c>
      <x:c r="I17" s="34" t="str">
        <x:v>Exclude from open-market shortlist</x:v>
      </x:c>
      <x:c r="J17" s="32" t="str">
        <x:v>Very dense F&amp;B ecosystem around the student corridor; direct substitution risk is meaningful.</x:v>
      </x:c>
      <x:c r="K17" s="32" t="str">
        <x:v>Validation entry point; classification is driven mainly by internal F&amp;B-density data.</x:v>
      </x:c>
      <x:c r="L17" s="34" t="str">
        <x:v>MEDIUM</x:v>
      </x:c>
      <x:c r="M17" s="32" t="str">
        <x:v>https://www.google.com/search?q=%22Babarsari%22+pasta+Italian+restaurant</x:v>
      </x:c>
      <x:c r="N17" s="32" t="str"/>
    </x:row>
    <x:row r="18" ht="62" customHeight="1">
      <x:c r="A18" s="32" t="n">
        <x:v>6</x:v>
      </x:c>
      <x:c r="B18" s="32" t="str">
        <x:v>Kedaton</x:v>
      </x:c>
      <x:c r="C18" s="32" t="str">
        <x:v>Bandar Lampung | Lampung</x:v>
      </x:c>
      <x:c r="D18" s="34" t="n">
        <x:v>1113</x:v>
      </x:c>
      <x:c r="E18" s="34" t="n">
        <x:v>2</x:v>
      </x:c>
      <x:c r="F18" s="34" t="n">
        <x:v>72.1</x:v>
      </x:c>
      <x:c r="G18" s="34" t="n">
        <x:v>40.2</x:v>
      </x:c>
      <x:c r="H18" s="34" t="str">
        <x:v>NOT OPEN</x:v>
      </x:c>
      <x:c r="I18" s="34" t="str">
        <x:v>Exclude from open-market shortlist</x:v>
      </x:c>
      <x:c r="J18" s="32" t="str">
        <x:v>High broad F&amp;B density, but OSM coverage is explicitly thin; direct-pasta pressure not cleanly verified.</x:v>
      </x:c>
      <x:c r="K18" s="32" t="str">
        <x:v>Validation entry point; classification is driven mainly by internal F&amp;B-density data and flagged data-quality note. OSM tipis — verifikasi lapangan wajib</x:v>
      </x:c>
      <x:c r="L18" s="34" t="str">
        <x:v>LOW</x:v>
      </x:c>
      <x:c r="M18" s="32" t="str">
        <x:v>https://www.google.com/search?q=%22Kedaton%22+%22Bandar+Lampung%22+pasta+Italian+restaurant</x:v>
      </x:c>
      <x:c r="N18" s="32" t="str">
        <x:v>OSM tipis — verifikasi lapangan wajib</x:v>
      </x:c>
    </x:row>
    <x:row r="19" ht="62" customHeight="1">
      <x:c r="A19" s="32" t="n">
        <x:v>7</x:v>
      </x:c>
      <x:c r="B19" s="32" t="str">
        <x:v>Way Halim</x:v>
      </x:c>
      <x:c r="C19" s="32" t="str">
        <x:v>Bandar Lampung | Lampung</x:v>
      </x:c>
      <x:c r="D19" s="34" t="n">
        <x:v>1001</x:v>
      </x:c>
      <x:c r="E19" s="34" t="n">
        <x:v>2</x:v>
      </x:c>
      <x:c r="F19" s="34" t="n">
        <x:v>66.4</x:v>
      </x:c>
      <x:c r="G19" s="34" t="n">
        <x:v>40.7</x:v>
      </x:c>
      <x:c r="H19" s="34" t="str">
        <x:v>HIGH COMPETITION</x:v>
      </x:c>
      <x:c r="I19" s="34" t="str">
        <x:v>Strong caution / likely crowded</x:v>
      </x:c>
      <x:c r="J19" s="32" t="str">
        <x:v>High broad F&amp;B density, but OSM coverage is explicitly thin; direct-pasta pressure not cleanly verified.</x:v>
      </x:c>
      <x:c r="K19" s="32" t="str">
        <x:v>Validation entry point; classification is driven mainly by internal F&amp;B-density data and flagged data-quality note. OSM tipis — verifikasi lapangan wajib</x:v>
      </x:c>
      <x:c r="L19" s="34" t="str">
        <x:v>LOW</x:v>
      </x:c>
      <x:c r="M19" s="32" t="str">
        <x:v>https://www.google.com/search?q=%22Way+Halim%22+%22Bandar+Lampung%22+pasta+Italian+restaurant</x:v>
      </x:c>
      <x:c r="N19" s="32" t="str">
        <x:v>OSM tipis — verifikasi lapangan wajib</x:v>
      </x:c>
    </x:row>
    <x:row r="20" ht="62" customHeight="1">
      <x:c r="A20" s="32" t="n">
        <x:v>8</x:v>
      </x:c>
      <x:c r="B20" s="32" t="str">
        <x:v>Bogor Nirwana Residence</x:v>
      </x:c>
      <x:c r="C20" s="32" t="str">
        <x:v>Kota Bogor | Bogor</x:v>
      </x:c>
      <x:c r="D20" s="34" t="n">
        <x:v>886</x:v>
      </x:c>
      <x:c r="E20" s="34" t="n">
        <x:v>2</x:v>
      </x:c>
      <x:c r="F20" s="34" t="n">
        <x:v>60.6</x:v>
      </x:c>
      <x:c r="G20" s="34" t="n">
        <x:v>54.1</x:v>
      </x:c>
      <x:c r="H20" s="34" t="str">
        <x:v>HIGH COMPETITION</x:v>
      </x:c>
      <x:c r="I20" s="34" t="str">
        <x:v>Strong caution / likely crowded</x:v>
      </x:c>
      <x:c r="J20" s="32" t="str">
        <x:v>Broad F&amp;B competition is high, but direct pasta competition appears less concentrated than Bandung/Jogja clusters.</x:v>
      </x:c>
      <x:c r="K20" s="32" t="str">
        <x:v>Foodierate lists 50 restaurants in the local area.</x:v>
      </x:c>
      <x:c r="L20" s="34" t="str">
        <x:v>MEDIUM</x:v>
      </x:c>
      <x:c r="M20" s="32" t="str">
        <x:v>https://www.foodierate.com/id/restaurant/bogor-nirwana-residence</x:v>
      </x:c>
      <x:c r="N20" s="32" t="str"/>
    </x:row>
    <x:row r="21" ht="62" customHeight="1">
      <x:c r="A21" s="32" t="n">
        <x:v>9</x:v>
      </x:c>
      <x:c r="B21" s="32" t="str">
        <x:v>Sukarame - Unila</x:v>
      </x:c>
      <x:c r="C21" s="32" t="str">
        <x:v>Bandar Lampung | Lampung</x:v>
      </x:c>
      <x:c r="D21" s="34" t="n">
        <x:v>807</x:v>
      </x:c>
      <x:c r="E21" s="34" t="n">
        <x:v>2</x:v>
      </x:c>
      <x:c r="F21" s="34" t="n">
        <x:v>56.7</x:v>
      </x:c>
      <x:c r="G21" s="34" t="n">
        <x:v>40.5</x:v>
      </x:c>
      <x:c r="H21" s="34" t="str">
        <x:v>HIGH COMPETITION</x:v>
      </x:c>
      <x:c r="I21" s="34" t="str">
        <x:v>Strong caution / likely crowded</x:v>
      </x:c>
      <x:c r="J21" s="32" t="str">
        <x:v>High F&amp;B density in source data, but OSM coverage is thin; treat as directional.</x:v>
      </x:c>
      <x:c r="K21" s="32" t="str">
        <x:v>Validation entry point; classification is driven mainly by internal F&amp;B-density data and flagged data-quality note. OSM tipis — verifikasi lapangan wajib</x:v>
      </x:c>
      <x:c r="L21" s="34" t="str">
        <x:v>LOW</x:v>
      </x:c>
      <x:c r="M21" s="32" t="str">
        <x:v>https://www.google.com/search?q=%22Sukarame%22+Unila+pasta+Italian+restaurant</x:v>
      </x:c>
      <x:c r="N21" s="32" t="str">
        <x:v>OSM tipis — verifikasi lapangan wajib</x:v>
      </x:c>
    </x:row>
    <x:row r="22" ht="62" customHeight="1">
      <x:c r="A22" s="32" t="n">
        <x:v>10</x:v>
      </x:c>
      <x:c r="B22" s="32" t="str">
        <x:v>Buah Batu</x:v>
      </x:c>
      <x:c r="C22" s="32" t="str">
        <x:v>Kota Bandung | Bandung</x:v>
      </x:c>
      <x:c r="D22" s="34" t="n">
        <x:v>299</x:v>
      </x:c>
      <x:c r="E22" s="34" t="n">
        <x:v>5</x:v>
      </x:c>
      <x:c r="F22" s="34" t="n">
        <x:v>55.1</x:v>
      </x:c>
      <x:c r="G22" s="34" t="n">
        <x:v>71.4</x:v>
      </x:c>
      <x:c r="H22" s="34" t="str">
        <x:v>HIGH COMPETITION</x:v>
      </x:c>
      <x:c r="I22" s="34" t="str">
        <x:v>Strong caution / likely crowded</x:v>
      </x:c>
      <x:c r="J22" s="32" t="str">
        <x:v>Direct pasta/steak overlap is clearly visible, including SKY Steak &amp; Pasta and other pasta-serving venues.</x:v>
      </x:c>
      <x:c r="K22" s="32" t="str">
        <x:v>Google Maps spot-check surfaces SKY Steak &amp; Pasta in Buah Batu; other local pasta-serving venues are also visible.</x:v>
      </x:c>
      <x:c r="L22" s="34" t="str">
        <x:v>HIGH</x:v>
      </x:c>
      <x:c r="M22" s="32" t="str">
        <x:v>https://www.google.com/maps/search/Martabak%20Boss%20Pizza%20and%20Pasta%2C%20Buah%20Batu%20Bandung</x:v>
      </x:c>
      <x:c r="N22" s="32" t="str"/>
    </x:row>
    <x:row r="23" ht="62" customHeight="1">
      <x:c r="A23" s="32" t="n">
        <x:v>11</x:v>
      </x:c>
      <x:c r="B23" s="32" t="str">
        <x:v>Gading Serpong</x:v>
      </x:c>
      <x:c r="C23" s="32" t="str">
        <x:v>Tangerang | Jabodetabek</x:v>
      </x:c>
      <x:c r="D23" s="34" t="n">
        <x:v>234</x:v>
      </x:c>
      <x:c r="E23" s="34" t="n">
        <x:v>5</x:v>
      </x:c>
      <x:c r="F23" s="34" t="n">
        <x:v>51.8</x:v>
      </x:c>
      <x:c r="G23" s="34" t="n">
        <x:v>76.5</x:v>
      </x:c>
      <x:c r="H23" s="34" t="str">
        <x:v>BORDERLINE</x:v>
      </x:c>
      <x:c r="I23" s="34" t="str">
        <x:v>Needs direct pasta mapping</x:v>
      </x:c>
      <x:c r="J23" s="32" t="str">
        <x:v>Strong Italian/pasta cluster confirmed, with multiple dedicated Italian restaurants.</x:v>
      </x:c>
      <x:c r="K23" s="32" t="str">
        <x:v>Web spot-check: 10 Italian restaurants are listed for Alam Sutera/Gading Serpong; De Boni also has an active official site.</x:v>
      </x:c>
      <x:c r="L23" s="34" t="str">
        <x:v>HIGH</x:v>
      </x:c>
      <x:c r="M23" s="32" t="str">
        <x:v>https://www.nibble.id/restoran-italia-di-alam-sutera-dan-gading-serpong/</x:v>
      </x:c>
      <x:c r="N23" s="32" t="str"/>
    </x:row>
    <x:row r="24" ht="62" customHeight="1">
      <x:c r="A24" s="32" t="n">
        <x:v>12</x:v>
      </x:c>
      <x:c r="B24" s="32" t="str">
        <x:v>Margonda UI</x:v>
      </x:c>
      <x:c r="C24" s="32" t="str">
        <x:v>Depok | Jabodetabek</x:v>
      </x:c>
      <x:c r="D24" s="34" t="n">
        <x:v>213</x:v>
      </x:c>
      <x:c r="E24" s="34" t="n">
        <x:v>5</x:v>
      </x:c>
      <x:c r="F24" s="34" t="n">
        <x:v>50.7</x:v>
      </x:c>
      <x:c r="G24" s="34" t="n">
        <x:v>45.9</x:v>
      </x:c>
      <x:c r="H24" s="34" t="str">
        <x:v>BORDERLINE</x:v>
      </x:c>
      <x:c r="I24" s="34" t="str">
        <x:v>Needs direct pasta mapping</x:v>
      </x:c>
      <x:c r="J24" s="32" t="str">
        <x:v>Direct pasta cluster confirmed, including Warung Pasta and Milan Pizzeria Cafe.</x:v>
      </x:c>
      <x:c r="K24" s="32" t="str">
        <x:v>Traveloka spot-check lists Warung Pasta and Milan Pizzeria Cafe on Margonda.</x:v>
      </x:c>
      <x:c r="L24" s="34" t="str">
        <x:v>HIGH</x:v>
      </x:c>
      <x:c r="M24" s="32" t="str">
        <x:v>https://www.traveloka.com/id-id/explore/culinary/7-tempat-makan-margonda-depok/156616</x:v>
      </x:c>
      <x:c r="N24" s="32" t="str"/>
    </x:row>
    <x:row r="25" ht="62" customHeight="1">
      <x:c r="A25" s="32" t="n">
        <x:v>13</x:v>
      </x:c>
      <x:c r="B25" s="32" t="str">
        <x:v>Sindang Barang - Bogor Timur</x:v>
      </x:c>
      <x:c r="C25" s="32" t="str">
        <x:v>Kota Bogor | Bogor</x:v>
      </x:c>
      <x:c r="D25" s="34" t="n">
        <x:v>670</x:v>
      </x:c>
      <x:c r="E25" s="34" t="n">
        <x:v>2</x:v>
      </x:c>
      <x:c r="F25" s="34" t="n">
        <x:v>49.8</x:v>
      </x:c>
      <x:c r="G25" s="34" t="n">
        <x:v>51.9</x:v>
      </x:c>
      <x:c r="H25" s="34" t="str">
        <x:v>BORDERLINE</x:v>
      </x:c>
      <x:c r="I25" s="34" t="str">
        <x:v>Needs direct pasta mapping</x:v>
      </x:c>
      <x:c r="J25" s="32" t="str">
        <x:v>High broad F&amp;B density, but direct pasta/Italian pressure is not clearly verified.</x:v>
      </x:c>
      <x:c r="K25" s="32" t="str">
        <x:v>Validation entry point; classification is driven mainly by internal F&amp;B-density data.</x:v>
      </x:c>
      <x:c r="L25" s="34" t="str">
        <x:v>MEDIUM</x:v>
      </x:c>
      <x:c r="M25" s="32" t="str">
        <x:v>https://www.google.com/search?q=%22Sindang+Barang%22+Bogor+pasta+Italian+restaurant</x:v>
      </x:c>
      <x:c r="N25" s="32" t="str"/>
      <x:c r="P25" s="58" t="str">
        <x:v>Location</x:v>
      </x:c>
      <x:c r="Q25" s="58" t="str">
        <x:v>Non-Open Score</x:v>
      </x:c>
    </x:row>
    <x:row r="26" ht="62" customHeight="1">
      <x:c r="A26" s="32" t="n">
        <x:v>14</x:v>
      </x:c>
      <x:c r="B26" s="32" t="str">
        <x:v>Grand Galaxy Bekasi</x:v>
      </x:c>
      <x:c r="C26" s="32" t="str">
        <x:v>Bekasi | Jabodetabek</x:v>
      </x:c>
      <x:c r="D26" s="34" t="n">
        <x:v>261</x:v>
      </x:c>
      <x:c r="E26" s="34" t="n">
        <x:v>4</x:v>
      </x:c>
      <x:c r="F26" s="34" t="n">
        <x:v>45.1</x:v>
      </x:c>
      <x:c r="G26" s="34" t="n">
        <x:v>51.2</x:v>
      </x:c>
      <x:c r="H26" s="34" t="str">
        <x:v>BORDERLINE</x:v>
      </x:c>
      <x:c r="I26" s="34" t="str">
        <x:v>Needs direct pasta mapping</x:v>
      </x:c>
      <x:c r="J26" s="32" t="str">
        <x:v>Direct Italian/pasta competition is confirmed (e.g., Lil'Spago), on top of moderate F&amp;B density.</x:v>
      </x:c>
      <x:c r="K26" s="32" t="str">
        <x:v>Official restaurant site confirms Lil'Spago Ristorante in Grand Galaxy City and highlights pasta.</x:v>
      </x:c>
      <x:c r="L26" s="34" t="str">
        <x:v>HIGH</x:v>
      </x:c>
      <x:c r="M26" s="32" t="str">
        <x:v>https://lilspago.wixsite.com/lilspago</x:v>
      </x:c>
      <x:c r="N26" s="32" t="str"/>
      <x:c r="P26" t="str">
        <x:v>Dago - Ciumbuleuit</x:v>
      </x:c>
      <x:c r="Q26" t="n">
        <x:v>92</x:v>
      </x:c>
    </x:row>
    <x:row r="27" ht="62" customHeight="1">
      <x:c r="A27" s="32" t="n">
        <x:v>15</x:v>
      </x:c>
      <x:c r="B27" s="32" t="str">
        <x:v>Kota Wisata Cibubur</x:v>
      </x:c>
      <x:c r="C27" s="32" t="str">
        <x:v>Kab. Bogor | Bogor</x:v>
      </x:c>
      <x:c r="D27" s="34" t="n">
        <x:v>80</x:v>
      </x:c>
      <x:c r="E27" s="34" t="n">
        <x:v>5</x:v>
      </x:c>
      <x:c r="F27" s="34" t="n">
        <x:v>44</x:v>
      </x:c>
      <x:c r="G27" s="34" t="n">
        <x:v>38.9</x:v>
      </x:c>
      <x:c r="H27" s="34" t="str">
        <x:v>RELATIVELY OPEN</x:v>
      </x:c>
      <x:c r="I27" s="34" t="str">
        <x:v>Keep as open-market candidate</x:v>
      </x:c>
      <x:c r="J27" s="32" t="str">
        <x:v>Low overall F&amp;B density but a surprisingly strong Italian cluster (6+ listed); concept-level competition matters.</x:v>
      </x:c>
      <x:c r="K27" s="32" t="str">
        <x:v>Foodierate lists 6+ Italian restaurants, including pasta-focused Waroeng Kentjana and D'Ven.</x:v>
      </x:c>
      <x:c r="L27" s="34" t="str">
        <x:v>HIGH</x:v>
      </x:c>
      <x:c r="M27" s="32" t="str">
        <x:v>https://www.foodierate.com/id/restaurant/kota-wisata-cibubur/category/italian</x:v>
      </x:c>
      <x:c r="N27" s="32" t="str"/>
      <x:c r="P27" t="str">
        <x:v>Gejayan - Kaliurang</x:v>
      </x:c>
      <x:c r="Q27" t="n">
        <x:v>88.1</x:v>
      </x:c>
    </x:row>
    <x:row r="28" ht="62" customHeight="1">
      <x:c r="A28" s="32" t="n">
        <x:v>16</x:v>
      </x:c>
      <x:c r="B28" s="32" t="str">
        <x:v>BSD City Sektor 3</x:v>
      </x:c>
      <x:c r="C28" s="32" t="str">
        <x:v>Tangerang Selatan | Jabodetabek</x:v>
      </x:c>
      <x:c r="D28" s="34" t="n">
        <x:v>386</x:v>
      </x:c>
      <x:c r="E28" s="34" t="n">
        <x:v>3</x:v>
      </x:c>
      <x:c r="F28" s="34" t="n">
        <x:v>43.4</x:v>
      </x:c>
      <x:c r="G28" s="34" t="n">
        <x:v>87</x:v>
      </x:c>
      <x:c r="H28" s="34" t="str">
        <x:v>RELATIVELY OPEN</x:v>
      </x:c>
      <x:c r="I28" s="34" t="str">
        <x:v>Keep as open-market candidate</x:v>
      </x:c>
      <x:c r="J28" s="32" t="str">
        <x:v>High overall site score and sizeable F&amp;B ecosystem; direct pasta pressure should be mapped before excluding.</x:v>
      </x:c>
      <x:c r="K28" s="32" t="str">
        <x:v>Validation entry point; classification is driven mainly by internal F&amp;B-density data.</x:v>
      </x:c>
      <x:c r="L28" s="34" t="str">
        <x:v>MEDIUM</x:v>
      </x:c>
      <x:c r="M28" s="32" t="str">
        <x:v>https://www.google.com/search?q=%22BSD+City+Sektor+3%22+pasta+Italian+restaurant</x:v>
      </x:c>
      <x:c r="N28" s="32" t="str"/>
      <x:c r="P28" t="str">
        <x:v>Setiabudi - UNPAD</x:v>
      </x:c>
      <x:c r="Q28" t="n">
        <x:v>79.5</x:v>
      </x:c>
    </x:row>
    <x:row r="29" ht="62" customHeight="1">
      <x:c r="A29" s="32" t="n">
        <x:v>17</x:v>
      </x:c>
      <x:c r="B29" s="32" t="str">
        <x:v>Lippo Karawaci</x:v>
      </x:c>
      <x:c r="C29" s="32" t="str">
        <x:v>Tangerang | Jabodetabek</x:v>
      </x:c>
      <x:c r="D29" s="34" t="n">
        <x:v>167</x:v>
      </x:c>
      <x:c r="E29" s="34" t="n">
        <x:v>4</x:v>
      </x:c>
      <x:c r="F29" s="34" t="n">
        <x:v>40.4</x:v>
      </x:c>
      <x:c r="G29" s="34" t="n">
        <x:v>66.5</x:v>
      </x:c>
      <x:c r="H29" s="34" t="str">
        <x:v>RELATIVELY OPEN</x:v>
      </x:c>
      <x:c r="I29" s="34" t="str">
        <x:v>Keep as open-market candidate</x:v>
      </x:c>
      <x:c r="J29" s="32" t="str">
        <x:v>Established F&amp;B ecosystem and known Western/Italian presence; direct competitor mapping recommended.</x:v>
      </x:c>
      <x:c r="K29" s="32" t="str">
        <x:v>Validation entry point; classification is driven mainly by internal F&amp;B-density data.</x:v>
      </x:c>
      <x:c r="L29" s="34" t="str">
        <x:v>MEDIUM</x:v>
      </x:c>
      <x:c r="M29" s="32" t="str">
        <x:v>https://www.google.com/search?q=%22Lippo+Karawaci%22+pasta+Italian+restaurant</x:v>
      </x:c>
      <x:c r="N29" s="32" t="str"/>
      <x:c r="P29" t="str">
        <x:v>Seturan - Sleman</x:v>
      </x:c>
      <x:c r="Q29" t="n">
        <x:v>79.4</x:v>
      </x:c>
    </x:row>
    <x:row r="30" ht="62" customHeight="1">
      <x:c r="A30" s="32" t="n">
        <x:v>18</x:v>
      </x:c>
      <x:c r="B30" s="32" t="str">
        <x:v>Sentul City</x:v>
      </x:c>
      <x:c r="C30" s="32" t="str">
        <x:v>Kab. Bogor | Bogor</x:v>
      </x:c>
      <x:c r="D30" s="34" t="n">
        <x:v>108</x:v>
      </x:c>
      <x:c r="E30" s="34" t="n">
        <x:v>3</x:v>
      </x:c>
      <x:c r="F30" s="34" t="n">
        <x:v>29.4</x:v>
      </x:c>
      <x:c r="G30" s="34" t="n">
        <x:v>24.8</x:v>
      </x:c>
      <x:c r="H30" s="34" t="str">
        <x:v>RELATIVELY OPEN</x:v>
      </x:c>
      <x:c r="I30" s="34" t="str">
        <x:v>Keep as open-market candidate</x:v>
      </x:c>
      <x:c r="J30" s="32" t="str">
        <x:v>Lower overall F&amp;B density; some Italian competition exists but the market is less crowded overall.</x:v>
      </x:c>
      <x:c r="K30" s="32" t="str">
        <x:v>Validation entry point; classification is driven mainly by internal F&amp;B-density data.</x:v>
      </x:c>
      <x:c r="L30" s="34" t="str">
        <x:v>MEDIUM</x:v>
      </x:c>
      <x:c r="M30" s="32" t="str">
        <x:v>https://www.google.com/search?q=%22Sentul+City%22+pasta+Italian+restaurant</x:v>
      </x:c>
      <x:c r="N30" s="32" t="str"/>
      <x:c r="P30" t="str">
        <x:v>Babarsari</x:v>
      </x:c>
      <x:c r="Q30" t="n">
        <x:v>77.6</x:v>
      </x:c>
    </x:row>
    <x:row r="31">
      <x:c r="P31" t="str">
        <x:v>Kedaton</x:v>
      </x:c>
      <x:c r="Q31" t="n">
        <x:v>72.1</x:v>
      </x:c>
    </x:row>
    <x:row r="32">
      <x:c r="P32" t="str">
        <x:v>Way Halim</x:v>
      </x:c>
      <x:c r="Q32" t="n">
        <x:v>66.4</x:v>
      </x:c>
    </x:row>
    <x:row r="33">
      <x:c r="P33" t="str">
        <x:v>Bogor Nirwana Residence</x:v>
      </x:c>
      <x:c r="Q33" t="n">
        <x:v>60.6</x:v>
      </x:c>
    </x:row>
    <x:row r="34">
      <x:c r="P34" t="str">
        <x:v>Sukarame - Unila</x:v>
      </x:c>
      <x:c r="Q34" t="n">
        <x:v>56.7</x:v>
      </x:c>
    </x:row>
    <x:row r="35">
      <x:c r="P35" t="str">
        <x:v>Buah Batu</x:v>
      </x:c>
      <x:c r="Q35" t="n">
        <x:v>55.1</x:v>
      </x:c>
    </x:row>
  </x:sheetData>
  <x:mergeCells>
    <x:mergeCell ref="A1:N1"/>
    <x:mergeCell ref="A2:N2"/>
  </x:mergeCells>
  <x:conditionalFormatting sqref="H13:H30">
    <x:cfRule type="expression" dxfId="0" priority="1">
      <x:formula>H13="NOT OPEN"</x:formula>
    </x:cfRule>
    <x:cfRule type="expression" dxfId="1" priority="2">
      <x:formula>H13="HIGH COMPETITION"</x:formula>
    </x:cfRule>
    <x:cfRule type="expression" dxfId="2" priority="3">
      <x:formula>H13="BORDERLINE"</x:formula>
    </x:cfRule>
    <x:cfRule type="expression" dxfId="3" priority="4">
      <x:formula>H13="RELATIVELY OPEN"</x:formula>
    </x:cfRule>
  </x:conditionalFormatting>
  <x:conditionalFormatting sqref="D13:D30">
    <x:cfRule type="dataBar" priority="5">
      <x:dataBar>
        <x:cfvo type="min"/>
        <x:cfvo type="max"/>
        <x:color rgb="FF5B9BD5"/>
      </x:dataBar>
      <x:extLst>
        <x:ext xmlns:x14="http://schemas.microsoft.com/office/spreadsheetml/2009/9/main" uri="{B025F937-C7B1-47D3-B67F-A62EFF666E3E}">
          <x14:id>{CF151C33-1F3F-F143-86D7-30C88E21A9B5}</x14:id>
        </x:ext>
      </x:extLst>
    </x:cfRule>
  </x:conditionalFormatting>
  <x:conditionalFormatting sqref="F13:F30">
    <x:cfRule type="colorScale" priority="6">
      <x:colorScale>
        <x:cfvo type="min"/>
        <x:cfvo type="percentile" val="50"/>
        <x:cfvo type="max"/>
        <x:color rgb="FFE2F0D9"/>
        <x:color rgb="FFFFF2CC"/>
        <x:color rgb="FFF4CCCC"/>
      </x:colorScale>
    </x:cfRule>
  </x:conditionalFormatting>
  <x:pageMargins left="0.7" right="0.7" top="0.75" bottom="0.75" header="0.3" footer="0.3"/>
  <x:drawing xmlns:r="http://schemas.openxmlformats.org/officeDocument/2006/relationships" r:id="R906decaf8d74405f"/>
  <x:tableParts count="1">
    <x:tablePart xmlns:r="http://schemas.openxmlformats.org/officeDocument/2006/relationships" r:id="Rfbaaaec8cc1b432f"/>
  </x:tableParts>
  <x:extLst>
    <x:ext xmlns:x14="http://schemas.microsoft.com/office/spreadsheetml/2009/9/main" xmlns:xm="http://schemas.microsoft.com/office/excel/2006/main" uri="{78C0D931-6437-407d-A8EE-F0AAD7539E65}">
      <x14:conditionalFormattings>
        <x14:conditionalFormatting>
          <x14:cfRule type="dataBar" priority="5" id="{CF151C33-1F3F-F143-86D7-30C88E21A9B5}">
            <x14:dataBar gradient="1">
              <x14:cfvo type="min"/>
              <x14:cfvo type="max"/>
              <x14:fillColor rgb="FF5B9BD5"/>
            </x14:dataBar>
          </x14:cfRule>
          <xm:sqref>D13:D30</xm:sqref>
        </x14:conditionalFormatting>
      </x14:conditionalFormattings>
    </x:ext>
  </x:extLst>
</x:worksheet>
</file>

<file path=xl/worksheets/sheet2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8" hidden="0" customWidth="1"/>
    <x:col min="3" max="3" width="15" hidden="0" customWidth="1"/>
    <x:col min="4" max="4" width="18" hidden="0" customWidth="1"/>
    <x:col min="5" max="5" width="14" hidden="0" customWidth="1"/>
    <x:col min="6" max="6" width="16" hidden="0" customWidth="1"/>
    <x:col min="7" max="7" width="12" hidden="0" customWidth="1"/>
    <x:col min="8" max="8" width="60" hidden="0" customWidth="1"/>
  </x:cols>
  <x:sheetData>
    <x:row r="1">
      <x:c r="A1" s="38" t="str">
        <x:v>Priority Exclusions – Strongest “Not Open Market” Candidates</x:v>
      </x:c>
      <x:c r="B1" s="38"/>
      <x:c r="C1" s="38"/>
      <x:c r="D1" s="38"/>
      <x:c r="E1" s="38"/>
      <x:c r="F1" s="38"/>
      <x:c r="G1" s="38"/>
      <x:c r="H1" s="38"/>
    </x:row>
    <x:row r="2">
      <x:c r="A2" s="43" t="str">
        <x:v>These are the 10 highest-risk sites in this screen: all NOT OPEN or HIGH COMPETITION. The first 6 are the clearest “not open” group under the composite method.</x:v>
      </x:c>
      <x:c r="B2" s="43"/>
      <x:c r="C2" s="43"/>
      <x:c r="D2" s="43"/>
      <x:c r="E2" s="43"/>
      <x:c r="F2" s="43"/>
      <x:c r="G2" s="43"/>
      <x:c r="H2" s="43"/>
    </x:row>
    <x:row r="4">
      <x:c r="A4" s="49" t="str">
        <x:v>Priority</x:v>
      </x:c>
      <x:c r="B4" s="49" t="str">
        <x:v>Location</x:v>
      </x:c>
      <x:c r="C4" s="49" t="str">
        <x:v>Non-Open Score</x:v>
      </x:c>
      <x:c r="D4" s="49" t="str">
        <x:v>Status</x:v>
      </x:c>
      <x:c r="E4" s="49" t="str">
        <x:v>F&amp;B in 5 km</x:v>
      </x:c>
      <x:c r="F4" s="49" t="str">
        <x:v>Direct Pressure</x:v>
      </x:c>
      <x:c r="G4" s="49" t="str">
        <x:v>Confidence</x:v>
      </x:c>
      <x:c r="H4" s="49" t="str">
        <x:v>Key Reason</x:v>
      </x:c>
    </x:row>
    <x:row r="5" ht="55" customHeight="1">
      <x:c r="A5" s="34" t="n">
        <x:v>1</x:v>
      </x:c>
      <x:c r="B5" s="34" t="str">
        <x:v>Dago - Ciumbuleuit</x:v>
      </x:c>
      <x:c r="C5" s="34" t="n">
        <x:v>92</x:v>
      </x:c>
      <x:c r="D5" s="34" t="str">
        <x:v>NOT OPEN</x:v>
      </x:c>
      <x:c r="E5" s="34" t="n">
        <x:v>1191</x:v>
      </x:c>
      <x:c r="F5" s="34" t="n">
        <x:v>4</x:v>
      </x:c>
      <x:c r="G5" s="34" t="str">
        <x:v>MEDIUM</x:v>
      </x:c>
      <x:c r="H5" s="32" t="str">
        <x:v>Very dense F&amp;B ecosystem; concept-level Italian/pasta competition likely high.</x:v>
      </x:c>
    </x:row>
    <x:row r="6" ht="55" customHeight="1">
      <x:c r="A6" s="34" t="n">
        <x:v>2</x:v>
      </x:c>
      <x:c r="B6" s="34" t="str">
        <x:v>Gejayan - Kaliurang</x:v>
      </x:c>
      <x:c r="C6" s="34" t="n">
        <x:v>88.1</x:v>
      </x:c>
      <x:c r="D6" s="34" t="str">
        <x:v>NOT OPEN</x:v>
      </x:c>
      <x:c r="E6" s="34" t="n">
        <x:v>1113</x:v>
      </x:c>
      <x:c r="F6" s="34" t="n">
        <x:v>4</x:v>
      </x:c>
      <x:c r="G6" s="34" t="str">
        <x:v>MEDIUM</x:v>
      </x:c>
      <x:c r="H6" s="32" t="str">
        <x:v>Very dense F&amp;B ecosystem; student/commercial corridor makes direct substitution risk high.</x:v>
      </x:c>
    </x:row>
    <x:row r="7" ht="55" customHeight="1">
      <x:c r="A7" s="34" t="n">
        <x:v>3</x:v>
      </x:c>
      <x:c r="B7" s="34" t="str">
        <x:v>Setiabudi - UNPAD</x:v>
      </x:c>
      <x:c r="C7" s="34" t="n">
        <x:v>79.5</x:v>
      </x:c>
      <x:c r="D7" s="34" t="str">
        <x:v>NOT OPEN</x:v>
      </x:c>
      <x:c r="E7" s="34" t="n">
        <x:v>943</x:v>
      </x:c>
      <x:c r="F7" s="34" t="n">
        <x:v>4</x:v>
      </x:c>
      <x:c r="G7" s="34" t="str">
        <x:v>MEDIUM</x:v>
      </x:c>
      <x:c r="H7" s="32" t="str">
        <x:v>Very dense F&amp;B ecosystem around a major student corridor; Western/Italian competition is relevant.</x:v>
      </x:c>
    </x:row>
    <x:row r="8" ht="55" customHeight="1">
      <x:c r="A8" s="34" t="n">
        <x:v>4</x:v>
      </x:c>
      <x:c r="B8" s="34" t="str">
        <x:v>Seturan - Sleman</x:v>
      </x:c>
      <x:c r="C8" s="34" t="n">
        <x:v>79.4</x:v>
      </x:c>
      <x:c r="D8" s="34" t="str">
        <x:v>NOT OPEN</x:v>
      </x:c>
      <x:c r="E8" s="34" t="n">
        <x:v>941</x:v>
      </x:c>
      <x:c r="F8" s="34" t="n">
        <x:v>4</x:v>
      </x:c>
      <x:c r="G8" s="34" t="str">
        <x:v>MEDIUM</x:v>
      </x:c>
      <x:c r="H8" s="32" t="str">
        <x:v>Very dense F&amp;B ecosystem in a mature student/commercial zone; direct substitution risk is meaningful.</x:v>
      </x:c>
    </x:row>
    <x:row r="9" ht="55" customHeight="1">
      <x:c r="A9" s="34" t="n">
        <x:v>5</x:v>
      </x:c>
      <x:c r="B9" s="34" t="str">
        <x:v>Babarsari</x:v>
      </x:c>
      <x:c r="C9" s="34" t="n">
        <x:v>77.6</x:v>
      </x:c>
      <x:c r="D9" s="34" t="str">
        <x:v>NOT OPEN</x:v>
      </x:c>
      <x:c r="E9" s="34" t="n">
        <x:v>905</x:v>
      </x:c>
      <x:c r="F9" s="34" t="n">
        <x:v>4</x:v>
      </x:c>
      <x:c r="G9" s="34" t="str">
        <x:v>MEDIUM</x:v>
      </x:c>
      <x:c r="H9" s="32" t="str">
        <x:v>Very dense F&amp;B ecosystem around the student corridor; direct substitution risk is meaningful.</x:v>
      </x:c>
    </x:row>
    <x:row r="10" ht="55" customHeight="1">
      <x:c r="A10" s="34" t="n">
        <x:v>6</x:v>
      </x:c>
      <x:c r="B10" s="34" t="str">
        <x:v>Kedaton</x:v>
      </x:c>
      <x:c r="C10" s="34" t="n">
        <x:v>72.1</x:v>
      </x:c>
      <x:c r="D10" s="34" t="str">
        <x:v>NOT OPEN</x:v>
      </x:c>
      <x:c r="E10" s="34" t="n">
        <x:v>1113</x:v>
      </x:c>
      <x:c r="F10" s="34" t="n">
        <x:v>2</x:v>
      </x:c>
      <x:c r="G10" s="34" t="str">
        <x:v>LOW</x:v>
      </x:c>
      <x:c r="H10" s="32" t="str">
        <x:v>High broad F&amp;B density, but OSM coverage is explicitly thin; direct-pasta pressure not cleanly verified.</x:v>
      </x:c>
    </x:row>
    <x:row r="11" ht="55" customHeight="1">
      <x:c r="A11" s="34" t="n">
        <x:v>7</x:v>
      </x:c>
      <x:c r="B11" s="34" t="str">
        <x:v>Way Halim</x:v>
      </x:c>
      <x:c r="C11" s="34" t="n">
        <x:v>66.4</x:v>
      </x:c>
      <x:c r="D11" s="34" t="str">
        <x:v>HIGH COMPETITION</x:v>
      </x:c>
      <x:c r="E11" s="34" t="n">
        <x:v>1001</x:v>
      </x:c>
      <x:c r="F11" s="34" t="n">
        <x:v>2</x:v>
      </x:c>
      <x:c r="G11" s="34" t="str">
        <x:v>LOW</x:v>
      </x:c>
      <x:c r="H11" s="32" t="str">
        <x:v>High broad F&amp;B density, but OSM coverage is explicitly thin; direct-pasta pressure not cleanly verified.</x:v>
      </x:c>
    </x:row>
    <x:row r="12" ht="55" customHeight="1">
      <x:c r="A12" s="34" t="n">
        <x:v>8</x:v>
      </x:c>
      <x:c r="B12" s="34" t="str">
        <x:v>Bogor Nirwana Residence</x:v>
      </x:c>
      <x:c r="C12" s="34" t="n">
        <x:v>60.6</x:v>
      </x:c>
      <x:c r="D12" s="34" t="str">
        <x:v>HIGH COMPETITION</x:v>
      </x:c>
      <x:c r="E12" s="34" t="n">
        <x:v>886</x:v>
      </x:c>
      <x:c r="F12" s="34" t="n">
        <x:v>2</x:v>
      </x:c>
      <x:c r="G12" s="34" t="str">
        <x:v>MEDIUM</x:v>
      </x:c>
      <x:c r="H12" s="32" t="str">
        <x:v>Broad F&amp;B competition is high, but direct pasta competition appears less concentrated than Bandung/Jogja clusters.</x:v>
      </x:c>
    </x:row>
    <x:row r="13" ht="55" customHeight="1">
      <x:c r="A13" s="34" t="n">
        <x:v>9</x:v>
      </x:c>
      <x:c r="B13" s="34" t="str">
        <x:v>Sukarame - Unila</x:v>
      </x:c>
      <x:c r="C13" s="34" t="n">
        <x:v>56.7</x:v>
      </x:c>
      <x:c r="D13" s="34" t="str">
        <x:v>HIGH COMPETITION</x:v>
      </x:c>
      <x:c r="E13" s="34" t="n">
        <x:v>807</x:v>
      </x:c>
      <x:c r="F13" s="34" t="n">
        <x:v>2</x:v>
      </x:c>
      <x:c r="G13" s="34" t="str">
        <x:v>LOW</x:v>
      </x:c>
      <x:c r="H13" s="32" t="str">
        <x:v>High F&amp;B density in source data, but OSM coverage is thin; treat as directional.</x:v>
      </x:c>
    </x:row>
    <x:row r="14" ht="55" customHeight="1">
      <x:c r="A14" s="34" t="n">
        <x:v>10</x:v>
      </x:c>
      <x:c r="B14" s="34" t="str">
        <x:v>Buah Batu</x:v>
      </x:c>
      <x:c r="C14" s="34" t="n">
        <x:v>55.1</x:v>
      </x:c>
      <x:c r="D14" s="34" t="str">
        <x:v>HIGH COMPETITION</x:v>
      </x:c>
      <x:c r="E14" s="34" t="n">
        <x:v>299</x:v>
      </x:c>
      <x:c r="F14" s="34" t="n">
        <x:v>5</x:v>
      </x:c>
      <x:c r="G14" s="34" t="str">
        <x:v>HIGH</x:v>
      </x:c>
      <x:c r="H14" s="32" t="str">
        <x:v>Direct pasta/steak overlap is clearly visible, including SKY Steak &amp; Pasta and other pasta-serving venues.</x:v>
      </x:c>
    </x:row>
  </x:sheetData>
  <x:mergeCells>
    <x:mergeCell ref="A1:H1"/>
    <x:mergeCell ref="A2:H2"/>
  </x:mergeCells>
  <x:pageMargins left="0.7" right="0.7" top="0.75" bottom="0.75" header="0.3" footer="0.3"/>
  <x:tableParts count="1">
    <x:tablePart xmlns:r="http://schemas.openxmlformats.org/officeDocument/2006/relationships" r:id="R5fc2e53c19b24f0c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42" hidden="0" customWidth="1"/>
    <x:col min="3" max="3" width="95" hidden="0" customWidth="1"/>
  </x:cols>
  <x:sheetData>
    <x:row r="1">
      <x:c r="A1" s="55" t="str">
        <x:v>Methodology &amp; Interpretation Notes</x:v>
      </x:c>
      <x:c r="B1" s="55"/>
      <x:c r="C1" s="55"/>
      <x:c r="D1" s="55"/>
      <x:c r="E1" s="55"/>
      <x:c r="F1" s="55"/>
    </x:row>
    <x:row r="3">
      <x:c r="A3" s="23" t="str">
        <x:v>Item</x:v>
      </x:c>
      <x:c r="B3" s="23" t="str">
        <x:v>Rule</x:v>
      </x:c>
      <x:c r="C3" s="23" t="str">
        <x:v>Interpretation</x:v>
      </x:c>
    </x:row>
    <x:row r="4" ht="48" customHeight="1">
      <x:c r="A4" s="32" t="str">
        <x:v>Primary input</x:v>
      </x:c>
      <x:c r="B4" s="32" t="str">
        <x:v>F&amp;B in 5 km from site_scores.csv</x:v>
      </x:c>
      <x:c r="C4" s="32" t="str">
        <x:v>Used as the broad competition/crowding proxy.</x:v>
      </x:c>
    </x:row>
    <x:row r="5" ht="48" customHeight="1">
      <x:c r="A5" s="32" t="str">
        <x:v>Weight 60%</x:v>
      </x:c>
      <x:c r="B5" s="32" t="str">
        <x:v>Broad F&amp;B density</x:v>
      </x:c>
      <x:c r="C5" s="32" t="str">
        <x:v>Higher density lowers market openness.</x:v>
      </x:c>
    </x:row>
    <x:row r="6" ht="48" customHeight="1">
      <x:c r="A6" s="32" t="str">
        <x:v>Weight 40%</x:v>
      </x:c>
      <x:c r="B6" s="32" t="str">
        <x:v>Direct Pasta/Italian Pressure (0–5)</x:v>
      </x:c>
      <x:c r="C6" s="32" t="str">
        <x:v>Analyst directional assessment, informed by current web spot-checks and the earlier competitor screening. It is not an exact competitor count.</x:v>
      </x:c>
    </x:row>
    <x:row r="7" ht="48" customHeight="1">
      <x:c r="A7" s="32" t="str">
        <x:v>Score formula</x:v>
      </x:c>
      <x:c r="B7" s="32" t="str">
        <x:v>60 × (F&amp;B / max F&amp;B) + 8 × Direct Pressure</x:v>
      </x:c>
      <x:c r="C7" s="32" t="str">
        <x:v>Produces a 0–100-ish directional non-open score within this 18-site set.</x:v>
      </x:c>
    </x:row>
    <x:row r="8" ht="48" customHeight="1">
      <x:c r="A8" s="32" t="str">
        <x:v>NOT OPEN</x:v>
      </x:c>
      <x:c r="B8" s="32" t="str">
        <x:v>Score ≥ 70</x:v>
      </x:c>
      <x:c r="C8" s="32" t="str">
        <x:v>Strongest candidates to remove from the open-market shortlist.</x:v>
      </x:c>
    </x:row>
    <x:row r="9" ht="48" customHeight="1">
      <x:c r="A9" s="32" t="str">
        <x:v>HIGH COMPETITION</x:v>
      </x:c>
      <x:c r="B9" s="32" t="str">
        <x:v>55–69.9</x:v>
      </x:c>
      <x:c r="C9" s="32" t="str">
        <x:v>Likely crowded; remove or keep only with a strong site-specific reason.</x:v>
      </x:c>
    </x:row>
    <x:row r="10" ht="48" customHeight="1">
      <x:c r="A10" s="32" t="str">
        <x:v>BORDERLINE</x:v>
      </x:c>
      <x:c r="B10" s="32" t="str">
        <x:v>45–54.9</x:v>
      </x:c>
      <x:c r="C10" s="32" t="str">
        <x:v>Not enough to call non-open from this screen; map direct pasta competitors.</x:v>
      </x:c>
    </x:row>
    <x:row r="11" ht="48" customHeight="1">
      <x:c r="A11" s="32" t="str">
        <x:v>RELATIVELY OPEN</x:v>
      </x:c>
      <x:c r="B11" s="32" t="str">
        <x:v>&lt; 45</x:v>
      </x:c>
      <x:c r="C11" s="32" t="str">
        <x:v>Better relative whitespace signal on this screen; still requires validation.</x:v>
      </x:c>
    </x:row>
    <x:row r="12" ht="48" customHeight="1">
      <x:c r="A12" s="32" t="str">
        <x:v>Data quality</x:v>
      </x:c>
      <x:c r="B12" s="32" t="str">
        <x:v>Way Halim, Sukarame–Unila, Kedaton show 'OSM tipis — verifikasi lapangan wajib'</x:v>
      </x:c>
      <x:c r="C12" s="32" t="str">
        <x:v>Their counts are directional; do not use them as hard exclusions without field validation.</x:v>
      </x:c>
    </x:row>
    <x:row r="13" ht="48" customHeight="1">
      <x:c r="A13" s="32" t="str">
        <x:v>Important</x:v>
      </x:c>
      <x:c r="B13" s="32" t="str">
        <x:v>This is a non-open market screen, not a store feasibility score.</x:v>
      </x:c>
      <x:c r="C13" s="32" t="str">
        <x:v>A high Final Site Score can coexist with NOT OPEN because the trade area may be attractive but crowded.</x:v>
      </x:c>
    </x:row>
  </x:sheetData>
  <x:mergeCells>
    <x:mergeCell ref="A1:F1"/>
  </x:mergeCells>
  <x:pageMargins left="0.7" right="0.7" top="0.75" bottom="0.75" header="0.3" footer="0.3"/>
</x:worksheet>
</file>